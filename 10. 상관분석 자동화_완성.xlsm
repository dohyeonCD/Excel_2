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5c5ce7c280202436/바탕 화면/엑셀/자동화/실습 완성/"/>
    </mc:Choice>
  </mc:AlternateContent>
  <bookViews>
    <workbookView xWindow="-108" yWindow="-108" windowWidth="23256" windowHeight="12456" activeTab="1"/>
  </bookViews>
  <sheets>
    <sheet name="Sheet1" sheetId="1" r:id="rId1"/>
    <sheet name="Sheet1 (2)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4" i="1" l="1"/>
</calcChain>
</file>

<file path=xl/sharedStrings.xml><?xml version="1.0" encoding="utf-8"?>
<sst xmlns="http://schemas.openxmlformats.org/spreadsheetml/2006/main" count="145" uniqueCount="84">
  <si>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</si>
  <si>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</si>
  <si>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</si>
  <si>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</si>
  <si>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</si>
  <si>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</si>
  <si>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</si>
  <si>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</si>
  <si>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</si>
  <si>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</si>
  <si>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</si>
  <si>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</si>
  <si>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</si>
  <si>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</si>
  <si>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</si>
  <si>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</si>
  <si>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</si>
  <si>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</si>
  <si>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</si>
  <si>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</si>
  <si>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</si>
  <si>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</si>
  <si>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</si>
  <si>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</si>
  <si>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</si>
  <si>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</si>
  <si>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</si>
  <si>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</si>
  <si>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</si>
  <si>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</si>
  <si>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</si>
  <si>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</si>
  <si>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</si>
  <si>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</si>
  <si>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</si>
  <si>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</si>
  <si>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</si>
  <si>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</si>
  <si>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</si>
  <si>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</si>
  <si>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</si>
  <si>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</si>
  <si>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</si>
  <si>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</si>
  <si>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</si>
  <si>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</si>
  <si>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</si>
  <si>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</si>
  <si>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연도</t>
    <phoneticPr fontId="1" type="noConversion"/>
  </si>
  <si>
    <t>운전면허소지자</t>
  </si>
  <si>
    <t>운전면허소지자</t>
    <phoneticPr fontId="1" type="noConversion"/>
  </si>
  <si>
    <t>1인당 국민총소득</t>
  </si>
  <si>
    <t>1인당 국민총소득</t>
    <phoneticPr fontId="1" type="noConversion"/>
  </si>
  <si>
    <t>요약 출력</t>
  </si>
  <si>
    <t>회귀분석 통계량</t>
  </si>
  <si>
    <t>다중 상관계수</t>
  </si>
  <si>
    <t>결정계수</t>
  </si>
  <si>
    <t>조정된 결정계수</t>
  </si>
  <si>
    <t>표준 오차</t>
  </si>
  <si>
    <t>관측수</t>
  </si>
  <si>
    <t>분산 분석</t>
  </si>
  <si>
    <t>회귀</t>
  </si>
  <si>
    <t>잔차</t>
  </si>
  <si>
    <t>계</t>
  </si>
  <si>
    <t>Y 절편</t>
  </si>
  <si>
    <t>자유도</t>
  </si>
  <si>
    <t>제곱합</t>
  </si>
  <si>
    <t>제곱 평균</t>
  </si>
  <si>
    <t>F 비</t>
  </si>
  <si>
    <t>유의한 F</t>
  </si>
  <si>
    <t>계수</t>
  </si>
  <si>
    <t>t 통계량</t>
  </si>
  <si>
    <t>P-값</t>
  </si>
  <si>
    <t>하위 95%</t>
  </si>
  <si>
    <t>상위 95%</t>
  </si>
  <si>
    <t>잔차 출력</t>
  </si>
  <si>
    <t>예측치 운전면허소지자</t>
  </si>
  <si>
    <t>1. 산포도 작성</t>
    <phoneticPr fontId="1" type="noConversion"/>
  </si>
  <si>
    <t>2. 상관분석</t>
    <phoneticPr fontId="1" type="noConversion"/>
  </si>
  <si>
    <t>3. 회귀분석</t>
    <phoneticPr fontId="1" type="noConversion"/>
  </si>
  <si>
    <t>y=1036.689X+2210752</t>
    <phoneticPr fontId="1" type="noConversion"/>
  </si>
  <si>
    <t>4. 회귀식 확정</t>
    <phoneticPr fontId="1" type="noConversion"/>
  </si>
  <si>
    <t>5. 추세선 그리기</t>
    <phoneticPr fontId="1" type="noConversion"/>
  </si>
  <si>
    <t>상관분석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</si>
</sst>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_ 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0EBD7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2" borderId="1" xfId="0" applyFill="1" applyBorder="1" applyAlignment="1"/>
    <xf numFmtId="3" fontId="0" fillId="0" borderId="1" xfId="0" applyNumberFormat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Continuous" vertical="center"/>
    </xf>
    <xf numFmtId="0" fontId="0" fillId="3" borderId="0" xfId="0" applyFill="1" applyBorder="1" applyAlignment="1">
      <alignment vertical="center"/>
    </xf>
    <xf numFmtId="176" fontId="0" fillId="3" borderId="0" xfId="0" applyNumberFormat="1" applyFill="1" applyBorder="1" applyAlignment="1">
      <alignment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2" xfId="0" applyFill="1" applyBorder="1">
      <alignment vertical="center"/>
    </xf>
    <xf numFmtId="176" fontId="0" fillId="3" borderId="2" xfId="0" applyNumberFormat="1" applyFill="1" applyBorder="1" applyAlignme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[1]Sheet1!$C$1</c:f>
              <c:strCache>
                <c:ptCount val="1"/>
                <c:pt idx="0">
                  <c:v>운전면허소지자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[1]Sheet1!$B$2:$B$49</c:f>
              <c:numCache>
                <c:formatCode>General</c:formatCode>
                <c:ptCount val="48"/>
                <c:pt idx="0">
                  <c:v>292</c:v>
                </c:pt>
                <c:pt idx="1">
                  <c:v>325</c:v>
                </c:pt>
                <c:pt idx="2">
                  <c:v>407</c:v>
                </c:pt>
                <c:pt idx="3">
                  <c:v>565</c:v>
                </c:pt>
                <c:pt idx="4">
                  <c:v>613</c:v>
                </c:pt>
                <c:pt idx="5">
                  <c:v>830</c:v>
                </c:pt>
                <c:pt idx="6">
                  <c:v>1053</c:v>
                </c:pt>
                <c:pt idx="7">
                  <c:v>1464</c:v>
                </c:pt>
                <c:pt idx="8">
                  <c:v>1720</c:v>
                </c:pt>
                <c:pt idx="9">
                  <c:v>1699</c:v>
                </c:pt>
                <c:pt idx="10">
                  <c:v>1857</c:v>
                </c:pt>
                <c:pt idx="11">
                  <c:v>1973</c:v>
                </c:pt>
                <c:pt idx="12">
                  <c:v>2175</c:v>
                </c:pt>
                <c:pt idx="13">
                  <c:v>2379</c:v>
                </c:pt>
                <c:pt idx="14">
                  <c:v>2427</c:v>
                </c:pt>
                <c:pt idx="15">
                  <c:v>2774</c:v>
                </c:pt>
                <c:pt idx="16">
                  <c:v>3512</c:v>
                </c:pt>
                <c:pt idx="17">
                  <c:v>4718</c:v>
                </c:pt>
                <c:pt idx="18">
                  <c:v>5801</c:v>
                </c:pt>
                <c:pt idx="19">
                  <c:v>6602</c:v>
                </c:pt>
                <c:pt idx="20">
                  <c:v>7627</c:v>
                </c:pt>
                <c:pt idx="21">
                  <c:v>8114</c:v>
                </c:pt>
                <c:pt idx="22">
                  <c:v>8872</c:v>
                </c:pt>
                <c:pt idx="23">
                  <c:v>10357</c:v>
                </c:pt>
                <c:pt idx="24">
                  <c:v>12522</c:v>
                </c:pt>
                <c:pt idx="25">
                  <c:v>13351</c:v>
                </c:pt>
                <c:pt idx="26">
                  <c:v>12334</c:v>
                </c:pt>
                <c:pt idx="27">
                  <c:v>8190</c:v>
                </c:pt>
                <c:pt idx="28">
                  <c:v>10549</c:v>
                </c:pt>
                <c:pt idx="29">
                  <c:v>12179</c:v>
                </c:pt>
                <c:pt idx="30">
                  <c:v>11484</c:v>
                </c:pt>
                <c:pt idx="31">
                  <c:v>13115</c:v>
                </c:pt>
                <c:pt idx="32">
                  <c:v>14618</c:v>
                </c:pt>
                <c:pt idx="33">
                  <c:v>16477</c:v>
                </c:pt>
                <c:pt idx="34">
                  <c:v>19262</c:v>
                </c:pt>
                <c:pt idx="35">
                  <c:v>21664</c:v>
                </c:pt>
                <c:pt idx="36">
                  <c:v>24027</c:v>
                </c:pt>
                <c:pt idx="37">
                  <c:v>21345</c:v>
                </c:pt>
                <c:pt idx="38">
                  <c:v>19122</c:v>
                </c:pt>
                <c:pt idx="39">
                  <c:v>23118</c:v>
                </c:pt>
                <c:pt idx="40">
                  <c:v>25256</c:v>
                </c:pt>
                <c:pt idx="41">
                  <c:v>25724</c:v>
                </c:pt>
                <c:pt idx="42">
                  <c:v>27351</c:v>
                </c:pt>
                <c:pt idx="43">
                  <c:v>29384</c:v>
                </c:pt>
                <c:pt idx="44">
                  <c:v>28814</c:v>
                </c:pt>
                <c:pt idx="45">
                  <c:v>29394</c:v>
                </c:pt>
                <c:pt idx="46">
                  <c:v>31734</c:v>
                </c:pt>
                <c:pt idx="47">
                  <c:v>33564</c:v>
                </c:pt>
              </c:numCache>
            </c:numRef>
          </c:xVal>
          <c:yVal>
            <c:numRef>
              <c:f>[1]Sheet1!$C$2:$C$49</c:f>
              <c:numCache>
                <c:formatCode>General</c:formatCode>
                <c:ptCount val="48"/>
                <c:pt idx="0">
                  <c:v>518707</c:v>
                </c:pt>
                <c:pt idx="1">
                  <c:v>605479</c:v>
                </c:pt>
                <c:pt idx="2">
                  <c:v>686275</c:v>
                </c:pt>
                <c:pt idx="3">
                  <c:v>711253</c:v>
                </c:pt>
                <c:pt idx="4">
                  <c:v>736837</c:v>
                </c:pt>
                <c:pt idx="5">
                  <c:v>797467</c:v>
                </c:pt>
                <c:pt idx="6">
                  <c:v>875929</c:v>
                </c:pt>
                <c:pt idx="7">
                  <c:v>1144293</c:v>
                </c:pt>
                <c:pt idx="8">
                  <c:v>1509458</c:v>
                </c:pt>
                <c:pt idx="9">
                  <c:v>1860654</c:v>
                </c:pt>
                <c:pt idx="10">
                  <c:v>2202759</c:v>
                </c:pt>
                <c:pt idx="11">
                  <c:v>2581310</c:v>
                </c:pt>
                <c:pt idx="12">
                  <c:v>2989401</c:v>
                </c:pt>
                <c:pt idx="13">
                  <c:v>3487138</c:v>
                </c:pt>
                <c:pt idx="14">
                  <c:v>4088521</c:v>
                </c:pt>
                <c:pt idx="15">
                  <c:v>4651867</c:v>
                </c:pt>
                <c:pt idx="16">
                  <c:v>5269494</c:v>
                </c:pt>
                <c:pt idx="17">
                  <c:v>6191821</c:v>
                </c:pt>
                <c:pt idx="18">
                  <c:v>7190467</c:v>
                </c:pt>
                <c:pt idx="19">
                  <c:v>8543903</c:v>
                </c:pt>
                <c:pt idx="20">
                  <c:v>9844356</c:v>
                </c:pt>
                <c:pt idx="21">
                  <c:v>11613300</c:v>
                </c:pt>
                <c:pt idx="22">
                  <c:v>13301610</c:v>
                </c:pt>
                <c:pt idx="23">
                  <c:v>14889762</c:v>
                </c:pt>
                <c:pt idx="24">
                  <c:v>16403759</c:v>
                </c:pt>
                <c:pt idx="25">
                  <c:v>17720833</c:v>
                </c:pt>
                <c:pt idx="26">
                  <c:v>18532172</c:v>
                </c:pt>
                <c:pt idx="27">
                  <c:v>19549002</c:v>
                </c:pt>
                <c:pt idx="28">
                  <c:v>17418878</c:v>
                </c:pt>
                <c:pt idx="29">
                  <c:v>18697346</c:v>
                </c:pt>
                <c:pt idx="30">
                  <c:v>19884337</c:v>
                </c:pt>
                <c:pt idx="31">
                  <c:v>21223010</c:v>
                </c:pt>
                <c:pt idx="32">
                  <c:v>22062457</c:v>
                </c:pt>
                <c:pt idx="33">
                  <c:v>22735053</c:v>
                </c:pt>
                <c:pt idx="34">
                  <c:v>23497657</c:v>
                </c:pt>
                <c:pt idx="35">
                  <c:v>24088229</c:v>
                </c:pt>
                <c:pt idx="36">
                  <c:v>24681440</c:v>
                </c:pt>
                <c:pt idx="37">
                  <c:v>25268379</c:v>
                </c:pt>
                <c:pt idx="38">
                  <c:v>25822149</c:v>
                </c:pt>
                <c:pt idx="39">
                  <c:v>26402364</c:v>
                </c:pt>
                <c:pt idx="40">
                  <c:v>27251153</c:v>
                </c:pt>
                <c:pt idx="41">
                  <c:v>28263317</c:v>
                </c:pt>
                <c:pt idx="42">
                  <c:v>28848040</c:v>
                </c:pt>
                <c:pt idx="43">
                  <c:v>29544245</c:v>
                </c:pt>
                <c:pt idx="44">
                  <c:v>30293621</c:v>
                </c:pt>
                <c:pt idx="45">
                  <c:v>31190359</c:v>
                </c:pt>
                <c:pt idx="46">
                  <c:v>31665393</c:v>
                </c:pt>
                <c:pt idx="47">
                  <c:v>32161081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AA-4751-91DD-EB7BBB71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69456"/>
        <c:axId val="113235376"/>
      </c:scatterChart>
      <c:valAx>
        <c:axId val="21146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235376"/>
        <c:crosses val="autoZero"/>
        <c:crossBetween val="midCat"/>
      </c:valAx>
      <c:valAx>
        <c:axId val="1132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6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289560</xdr:colOff>
      <xdr:row>14</xdr:row>
      <xdr:rowOff>19050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25FBF6CB-4068-4924-BA8C-C449F2AB6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662940</xdr:colOff>
          <xdr:row>0</xdr:row>
          <xdr:rowOff>7620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상관분석(2016버전)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상관분석(365버전)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788;&#45824;&#50644;&#51648;&#48708;\&#50641;&#49472;&#51012;%20&#54876;&#50857;&#54620;%20&#45936;&#51060;&#53552;&#48516;&#49437;%20&#44592;&#52488;(VBA)_2&#52264;\&#50696;&#51228;&#50756;&#49457;\&#54924;&#44480;&#48516;&#49437;_&#50756;&#4945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C1" t="str">
            <v>운전면허소지자</v>
          </cell>
        </row>
        <row r="2">
          <cell r="B2">
            <v>292</v>
          </cell>
          <cell r="C2">
            <v>518707</v>
          </cell>
        </row>
        <row r="3">
          <cell r="B3">
            <v>325</v>
          </cell>
          <cell r="C3">
            <v>605479</v>
          </cell>
        </row>
        <row r="4">
          <cell r="B4">
            <v>407</v>
          </cell>
          <cell r="C4">
            <v>686275</v>
          </cell>
        </row>
        <row r="5">
          <cell r="B5">
            <v>565</v>
          </cell>
          <cell r="C5">
            <v>711253</v>
          </cell>
        </row>
        <row r="6">
          <cell r="B6">
            <v>613</v>
          </cell>
          <cell r="C6">
            <v>736837</v>
          </cell>
        </row>
        <row r="7">
          <cell r="B7">
            <v>830</v>
          </cell>
          <cell r="C7">
            <v>797467</v>
          </cell>
        </row>
        <row r="8">
          <cell r="B8">
            <v>1053</v>
          </cell>
          <cell r="C8">
            <v>875929</v>
          </cell>
        </row>
        <row r="9">
          <cell r="B9">
            <v>1464</v>
          </cell>
          <cell r="C9">
            <v>1144293</v>
          </cell>
        </row>
        <row r="10">
          <cell r="B10">
            <v>1720</v>
          </cell>
          <cell r="C10">
            <v>1509458</v>
          </cell>
        </row>
        <row r="11">
          <cell r="B11">
            <v>1699</v>
          </cell>
          <cell r="C11">
            <v>1860654</v>
          </cell>
        </row>
        <row r="12">
          <cell r="B12">
            <v>1857</v>
          </cell>
          <cell r="C12">
            <v>2202759</v>
          </cell>
        </row>
        <row r="13">
          <cell r="B13">
            <v>1973</v>
          </cell>
          <cell r="C13">
            <v>2581310</v>
          </cell>
        </row>
        <row r="14">
          <cell r="B14">
            <v>2175</v>
          </cell>
          <cell r="C14">
            <v>2989401</v>
          </cell>
        </row>
        <row r="15">
          <cell r="B15">
            <v>2379</v>
          </cell>
          <cell r="C15">
            <v>3487138</v>
          </cell>
        </row>
        <row r="16">
          <cell r="B16">
            <v>2427</v>
          </cell>
          <cell r="C16">
            <v>4088521</v>
          </cell>
        </row>
        <row r="17">
          <cell r="B17">
            <v>2774</v>
          </cell>
          <cell r="C17">
            <v>4651867</v>
          </cell>
        </row>
        <row r="18">
          <cell r="B18">
            <v>3512</v>
          </cell>
          <cell r="C18">
            <v>5269494</v>
          </cell>
        </row>
        <row r="19">
          <cell r="B19">
            <v>4718</v>
          </cell>
          <cell r="C19">
            <v>6191821</v>
          </cell>
        </row>
        <row r="20">
          <cell r="B20">
            <v>5801</v>
          </cell>
          <cell r="C20">
            <v>7190467</v>
          </cell>
        </row>
        <row r="21">
          <cell r="B21">
            <v>6602</v>
          </cell>
          <cell r="C21">
            <v>8543903</v>
          </cell>
        </row>
        <row r="22">
          <cell r="B22">
            <v>7627</v>
          </cell>
          <cell r="C22">
            <v>9844356</v>
          </cell>
        </row>
        <row r="23">
          <cell r="B23">
            <v>8114</v>
          </cell>
          <cell r="C23">
            <v>11613300</v>
          </cell>
        </row>
        <row r="24">
          <cell r="B24">
            <v>8872</v>
          </cell>
          <cell r="C24">
            <v>13301610</v>
          </cell>
        </row>
        <row r="25">
          <cell r="B25">
            <v>10357</v>
          </cell>
          <cell r="C25">
            <v>14889762</v>
          </cell>
        </row>
        <row r="26">
          <cell r="B26">
            <v>12522</v>
          </cell>
          <cell r="C26">
            <v>16403759</v>
          </cell>
        </row>
        <row r="27">
          <cell r="B27">
            <v>13351</v>
          </cell>
          <cell r="C27">
            <v>17720833</v>
          </cell>
        </row>
        <row r="28">
          <cell r="B28">
            <v>12334</v>
          </cell>
          <cell r="C28">
            <v>18532172</v>
          </cell>
        </row>
        <row r="29">
          <cell r="B29">
            <v>8190</v>
          </cell>
          <cell r="C29">
            <v>19549002</v>
          </cell>
        </row>
        <row r="30">
          <cell r="B30">
            <v>10549</v>
          </cell>
          <cell r="C30">
            <v>17418878</v>
          </cell>
        </row>
        <row r="31">
          <cell r="B31">
            <v>12179</v>
          </cell>
          <cell r="C31">
            <v>18697346</v>
          </cell>
        </row>
        <row r="32">
          <cell r="B32">
            <v>11484</v>
          </cell>
          <cell r="C32">
            <v>19884337</v>
          </cell>
        </row>
        <row r="33">
          <cell r="B33">
            <v>13115</v>
          </cell>
          <cell r="C33">
            <v>21223010</v>
          </cell>
        </row>
        <row r="34">
          <cell r="B34">
            <v>14618</v>
          </cell>
          <cell r="C34">
            <v>22062457</v>
          </cell>
        </row>
        <row r="35">
          <cell r="B35">
            <v>16477</v>
          </cell>
          <cell r="C35">
            <v>22735053</v>
          </cell>
        </row>
        <row r="36">
          <cell r="B36">
            <v>19262</v>
          </cell>
          <cell r="C36">
            <v>23497657</v>
          </cell>
        </row>
        <row r="37">
          <cell r="B37">
            <v>21664</v>
          </cell>
          <cell r="C37">
            <v>24088229</v>
          </cell>
        </row>
        <row r="38">
          <cell r="B38">
            <v>24027</v>
          </cell>
          <cell r="C38">
            <v>24681440</v>
          </cell>
        </row>
        <row r="39">
          <cell r="B39">
            <v>21345</v>
          </cell>
          <cell r="C39">
            <v>25268379</v>
          </cell>
        </row>
        <row r="40">
          <cell r="B40">
            <v>19122</v>
          </cell>
          <cell r="C40">
            <v>25822149</v>
          </cell>
        </row>
        <row r="41">
          <cell r="B41">
            <v>23118</v>
          </cell>
          <cell r="C41">
            <v>26402364</v>
          </cell>
        </row>
        <row r="42">
          <cell r="B42">
            <v>25256</v>
          </cell>
          <cell r="C42">
            <v>27251153</v>
          </cell>
        </row>
        <row r="43">
          <cell r="B43">
            <v>25724</v>
          </cell>
          <cell r="C43">
            <v>28263317</v>
          </cell>
        </row>
        <row r="44">
          <cell r="B44">
            <v>27351</v>
          </cell>
          <cell r="C44">
            <v>28848040</v>
          </cell>
        </row>
        <row r="45">
          <cell r="B45">
            <v>29384</v>
          </cell>
          <cell r="C45">
            <v>29544245</v>
          </cell>
        </row>
        <row r="46">
          <cell r="B46">
            <v>28814</v>
          </cell>
          <cell r="C46">
            <v>30293621</v>
          </cell>
        </row>
        <row r="47">
          <cell r="B47">
            <v>29394</v>
          </cell>
          <cell r="C47">
            <v>31190359</v>
          </cell>
        </row>
        <row r="48">
          <cell r="B48">
            <v>31734</v>
          </cell>
          <cell r="C48">
            <v>31665393</v>
          </cell>
        </row>
        <row r="49">
          <cell r="B49">
            <v>33564</v>
          </cell>
          <cell r="C49">
            <v>32161081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97"/>
  <sheetViews>
    <sheetView workbookViewId="0"/>
  </sheetViews>
  <sheetFormatPr defaultRowHeight="17.399999999999999" x14ac:dyDescent="0.4"/>
  <cols>
    <col min="3" max="3" width="13.5" customWidth="1"/>
    <col min="5" max="5" width="16.09765625" bestFit="1" customWidth="1"/>
    <col min="7" max="7" width="12.796875" bestFit="1" customWidth="1"/>
  </cols>
  <sheetData>
    <row r="1" spans="1:5" x14ac:dyDescent="0.4">
      <c r="A1" s="1" t="s">
        <v>48</v>
      </c>
      <c r="B1" s="1" t="s">
        <v>52</v>
      </c>
      <c r="C1" s="1" t="s">
        <v>50</v>
      </c>
      <c r="E1" s="9" t="s">
        <v>77</v>
      </c>
    </row>
    <row r="2" spans="1:5" x14ac:dyDescent="0.4">
      <c r="A2" s="1" t="s">
        <v>0</v>
      </c>
      <c r="B2" s="2">
        <v>292</v>
      </c>
      <c r="C2" s="2">
        <v>518707</v>
      </c>
    </row>
    <row r="3" spans="1:5" x14ac:dyDescent="0.4">
      <c r="A3" s="1" t="s">
        <v>1</v>
      </c>
      <c r="B3" s="2">
        <v>325</v>
      </c>
      <c r="C3" s="2">
        <v>605479</v>
      </c>
    </row>
    <row r="4" spans="1:5" x14ac:dyDescent="0.4">
      <c r="A4" s="1" t="s">
        <v>2</v>
      </c>
      <c r="B4" s="2">
        <v>407</v>
      </c>
      <c r="C4" s="2">
        <v>686275</v>
      </c>
    </row>
    <row r="5" spans="1:5" x14ac:dyDescent="0.4">
      <c r="A5" s="1" t="s">
        <v>3</v>
      </c>
      <c r="B5" s="2">
        <v>565</v>
      </c>
      <c r="C5" s="2">
        <v>711253</v>
      </c>
    </row>
    <row r="6" spans="1:5" x14ac:dyDescent="0.4">
      <c r="A6" s="1" t="s">
        <v>4</v>
      </c>
      <c r="B6" s="2">
        <v>613</v>
      </c>
      <c r="C6" s="2">
        <v>736837</v>
      </c>
    </row>
    <row r="7" spans="1:5" x14ac:dyDescent="0.4">
      <c r="A7" s="1" t="s">
        <v>5</v>
      </c>
      <c r="B7" s="2">
        <v>830</v>
      </c>
      <c r="C7" s="2">
        <v>797467</v>
      </c>
    </row>
    <row r="8" spans="1:5" x14ac:dyDescent="0.4">
      <c r="A8" s="1" t="s">
        <v>6</v>
      </c>
      <c r="B8" s="2">
        <v>1053</v>
      </c>
      <c r="C8" s="2">
        <v>875929</v>
      </c>
    </row>
    <row r="9" spans="1:5" x14ac:dyDescent="0.4">
      <c r="A9" s="1" t="s">
        <v>7</v>
      </c>
      <c r="B9" s="2">
        <v>1464</v>
      </c>
      <c r="C9" s="2">
        <v>1144293</v>
      </c>
    </row>
    <row r="10" spans="1:5" x14ac:dyDescent="0.4">
      <c r="A10" s="1" t="s">
        <v>8</v>
      </c>
      <c r="B10" s="2">
        <v>1720</v>
      </c>
      <c r="C10" s="2">
        <v>1509458</v>
      </c>
    </row>
    <row r="11" spans="1:5" x14ac:dyDescent="0.4">
      <c r="A11" s="1" t="s">
        <v>9</v>
      </c>
      <c r="B11" s="2">
        <v>1699</v>
      </c>
      <c r="C11" s="2">
        <v>1860654</v>
      </c>
    </row>
    <row r="12" spans="1:5" x14ac:dyDescent="0.4">
      <c r="A12" s="1" t="s">
        <v>10</v>
      </c>
      <c r="B12" s="2">
        <v>1857</v>
      </c>
      <c r="C12" s="2">
        <v>2202759</v>
      </c>
    </row>
    <row r="13" spans="1:5" x14ac:dyDescent="0.4">
      <c r="A13" s="1" t="s">
        <v>11</v>
      </c>
      <c r="B13" s="2">
        <v>1973</v>
      </c>
      <c r="C13" s="2">
        <v>2581310</v>
      </c>
    </row>
    <row r="14" spans="1:5" x14ac:dyDescent="0.4">
      <c r="A14" s="1" t="s">
        <v>12</v>
      </c>
      <c r="B14" s="2">
        <v>2175</v>
      </c>
      <c r="C14" s="2">
        <v>2989401</v>
      </c>
    </row>
    <row r="15" spans="1:5" x14ac:dyDescent="0.4">
      <c r="A15" s="1" t="s">
        <v>13</v>
      </c>
      <c r="B15" s="2">
        <v>2379</v>
      </c>
      <c r="C15" s="2">
        <v>3487138</v>
      </c>
    </row>
    <row r="16" spans="1:5" ht="18" thickBot="1" x14ac:dyDescent="0.45">
      <c r="A16" s="1" t="s">
        <v>14</v>
      </c>
      <c r="B16" s="2">
        <v>2427</v>
      </c>
      <c r="C16" s="2">
        <v>4088521</v>
      </c>
      <c r="E16" t="s">
        <v>78</v>
      </c>
    </row>
    <row r="17" spans="1:10" x14ac:dyDescent="0.4">
      <c r="A17" s="1" t="s">
        <v>15</v>
      </c>
      <c r="B17" s="2">
        <v>2774</v>
      </c>
      <c r="C17" s="2">
        <v>4651867</v>
      </c>
      <c r="E17" s="10"/>
      <c r="F17" s="10" t="s">
        <v>51</v>
      </c>
      <c r="G17" s="10" t="s">
        <v>49</v>
      </c>
    </row>
    <row r="18" spans="1:10" x14ac:dyDescent="0.4">
      <c r="A18" s="1" t="s">
        <v>16</v>
      </c>
      <c r="B18" s="2">
        <v>3512</v>
      </c>
      <c r="C18" s="2">
        <v>5269494</v>
      </c>
      <c r="E18" t="s">
        <v>51</v>
      </c>
      <c r="F18">
        <v>1</v>
      </c>
    </row>
    <row r="19" spans="1:10" ht="18" thickBot="1" x14ac:dyDescent="0.45">
      <c r="A19" s="1" t="s">
        <v>17</v>
      </c>
      <c r="B19" s="2">
        <v>4718</v>
      </c>
      <c r="C19" s="2">
        <v>6191821</v>
      </c>
      <c r="E19" s="11" t="s">
        <v>49</v>
      </c>
      <c r="F19" s="12">
        <v>0.96684364707888149</v>
      </c>
      <c r="G19" s="11">
        <v>1</v>
      </c>
    </row>
    <row r="20" spans="1:10" x14ac:dyDescent="0.4">
      <c r="A20" s="1" t="s">
        <v>18</v>
      </c>
      <c r="B20" s="2">
        <v>5801</v>
      </c>
      <c r="C20" s="2">
        <v>7190467</v>
      </c>
    </row>
    <row r="21" spans="1:10" x14ac:dyDescent="0.4">
      <c r="A21" s="1" t="s">
        <v>19</v>
      </c>
      <c r="B21" s="2">
        <v>6602</v>
      </c>
      <c r="C21" s="2">
        <v>8543903</v>
      </c>
      <c r="E21" t="s">
        <v>79</v>
      </c>
    </row>
    <row r="22" spans="1:10" x14ac:dyDescent="0.4">
      <c r="A22" s="1" t="s">
        <v>20</v>
      </c>
      <c r="B22" s="2">
        <v>7627</v>
      </c>
      <c r="C22" s="2">
        <v>9844356</v>
      </c>
      <c r="E22" t="s">
        <v>53</v>
      </c>
    </row>
    <row r="23" spans="1:10" ht="18" thickBot="1" x14ac:dyDescent="0.45">
      <c r="A23" s="1" t="s">
        <v>21</v>
      </c>
      <c r="B23" s="2">
        <v>8114</v>
      </c>
      <c r="C23" s="2">
        <v>11613300</v>
      </c>
    </row>
    <row r="24" spans="1:10" x14ac:dyDescent="0.4">
      <c r="A24" s="1" t="s">
        <v>22</v>
      </c>
      <c r="B24" s="2">
        <v>8872</v>
      </c>
      <c r="C24" s="2">
        <v>13301610</v>
      </c>
      <c r="E24" s="6" t="s">
        <v>54</v>
      </c>
      <c r="F24" s="6"/>
    </row>
    <row r="25" spans="1:10" x14ac:dyDescent="0.4">
      <c r="A25" s="1" t="s">
        <v>23</v>
      </c>
      <c r="B25" s="2">
        <v>10357</v>
      </c>
      <c r="C25" s="2">
        <v>14889762</v>
      </c>
      <c r="E25" s="3" t="s">
        <v>55</v>
      </c>
      <c r="F25" s="3">
        <v>0.96684364707888126</v>
      </c>
    </row>
    <row r="26" spans="1:10" x14ac:dyDescent="0.4">
      <c r="A26" s="1" t="s">
        <v>24</v>
      </c>
      <c r="B26" s="2">
        <v>12522</v>
      </c>
      <c r="C26" s="2">
        <v>16403759</v>
      </c>
      <c r="E26" s="3" t="s">
        <v>56</v>
      </c>
      <c r="F26" s="7">
        <v>0.93478663789679228</v>
      </c>
    </row>
    <row r="27" spans="1:10" x14ac:dyDescent="0.4">
      <c r="A27" s="1" t="s">
        <v>25</v>
      </c>
      <c r="B27" s="2">
        <v>13351</v>
      </c>
      <c r="C27" s="2">
        <v>17720833</v>
      </c>
      <c r="E27" s="3" t="s">
        <v>57</v>
      </c>
      <c r="F27" s="3">
        <v>0.93336895611193993</v>
      </c>
    </row>
    <row r="28" spans="1:10" x14ac:dyDescent="0.4">
      <c r="A28" s="1" t="s">
        <v>26</v>
      </c>
      <c r="B28" s="2">
        <v>12334</v>
      </c>
      <c r="C28" s="2">
        <v>18532172</v>
      </c>
      <c r="E28" s="3" t="s">
        <v>58</v>
      </c>
      <c r="F28" s="3">
        <v>2849568.7776434859</v>
      </c>
    </row>
    <row r="29" spans="1:10" ht="18" thickBot="1" x14ac:dyDescent="0.45">
      <c r="A29" s="1" t="s">
        <v>27</v>
      </c>
      <c r="B29" s="2">
        <v>8190</v>
      </c>
      <c r="C29" s="2">
        <v>19549002</v>
      </c>
      <c r="E29" s="4" t="s">
        <v>59</v>
      </c>
      <c r="F29" s="4">
        <v>48</v>
      </c>
    </row>
    <row r="30" spans="1:10" x14ac:dyDescent="0.4">
      <c r="A30" s="1" t="s">
        <v>28</v>
      </c>
      <c r="B30" s="2">
        <v>10549</v>
      </c>
      <c r="C30" s="2">
        <v>17418878</v>
      </c>
    </row>
    <row r="31" spans="1:10" ht="18" thickBot="1" x14ac:dyDescent="0.45">
      <c r="A31" s="1" t="s">
        <v>29</v>
      </c>
      <c r="B31" s="2">
        <v>12179</v>
      </c>
      <c r="C31" s="2">
        <v>18697346</v>
      </c>
      <c r="E31" t="s">
        <v>60</v>
      </c>
    </row>
    <row r="32" spans="1:10" x14ac:dyDescent="0.4">
      <c r="A32" s="1" t="s">
        <v>30</v>
      </c>
      <c r="B32" s="2">
        <v>11484</v>
      </c>
      <c r="C32" s="2">
        <v>19884337</v>
      </c>
      <c r="E32" s="5"/>
      <c r="F32" s="5" t="s">
        <v>65</v>
      </c>
      <c r="G32" s="5" t="s">
        <v>66</v>
      </c>
      <c r="H32" s="5" t="s">
        <v>67</v>
      </c>
      <c r="I32" s="5" t="s">
        <v>68</v>
      </c>
      <c r="J32" s="5" t="s">
        <v>69</v>
      </c>
    </row>
    <row r="33" spans="1:11" x14ac:dyDescent="0.4">
      <c r="A33" s="1" t="s">
        <v>31</v>
      </c>
      <c r="B33" s="2">
        <v>13115</v>
      </c>
      <c r="C33" s="2">
        <v>21223010</v>
      </c>
      <c r="E33" s="3" t="s">
        <v>61</v>
      </c>
      <c r="F33" s="3">
        <v>1</v>
      </c>
      <c r="G33" s="3">
        <v>5354168365661446</v>
      </c>
      <c r="H33" s="3">
        <v>5354168365661446</v>
      </c>
      <c r="I33" s="3">
        <v>659.37691228370659</v>
      </c>
      <c r="J33" s="8">
        <v>6.485707372535506E-29</v>
      </c>
    </row>
    <row r="34" spans="1:11" x14ac:dyDescent="0.4">
      <c r="A34" s="1" t="s">
        <v>32</v>
      </c>
      <c r="B34" s="2">
        <v>14618</v>
      </c>
      <c r="C34" s="2">
        <v>22062457</v>
      </c>
      <c r="E34" s="3" t="s">
        <v>62</v>
      </c>
      <c r="F34" s="3">
        <v>46</v>
      </c>
      <c r="G34" s="3">
        <v>373521942051947.19</v>
      </c>
      <c r="H34" s="3">
        <v>8120042218520.5908</v>
      </c>
      <c r="I34" s="3"/>
      <c r="J34" s="3"/>
    </row>
    <row r="35" spans="1:11" ht="18" thickBot="1" x14ac:dyDescent="0.45">
      <c r="A35" s="1" t="s">
        <v>33</v>
      </c>
      <c r="B35" s="2">
        <v>16477</v>
      </c>
      <c r="C35" s="2">
        <v>22735053</v>
      </c>
      <c r="E35" s="4" t="s">
        <v>63</v>
      </c>
      <c r="F35" s="4">
        <v>47</v>
      </c>
      <c r="G35" s="4">
        <v>5727690307713393</v>
      </c>
      <c r="H35" s="4"/>
      <c r="I35" s="4"/>
      <c r="J35" s="4"/>
    </row>
    <row r="36" spans="1:11" ht="18" thickBot="1" x14ac:dyDescent="0.45">
      <c r="A36" s="1" t="s">
        <v>34</v>
      </c>
      <c r="B36" s="2">
        <v>19262</v>
      </c>
      <c r="C36" s="2">
        <v>23497657</v>
      </c>
    </row>
    <row r="37" spans="1:11" x14ac:dyDescent="0.4">
      <c r="A37" s="1" t="s">
        <v>35</v>
      </c>
      <c r="B37" s="2">
        <v>21664</v>
      </c>
      <c r="C37" s="2">
        <v>24088229</v>
      </c>
      <c r="E37" s="5"/>
      <c r="F37" s="5" t="s">
        <v>70</v>
      </c>
      <c r="G37" s="5" t="s">
        <v>58</v>
      </c>
      <c r="H37" s="5" t="s">
        <v>71</v>
      </c>
      <c r="I37" s="5" t="s">
        <v>72</v>
      </c>
      <c r="J37" s="5" t="s">
        <v>73</v>
      </c>
      <c r="K37" s="5" t="s">
        <v>74</v>
      </c>
    </row>
    <row r="38" spans="1:11" x14ac:dyDescent="0.4">
      <c r="A38" s="1" t="s">
        <v>36</v>
      </c>
      <c r="B38" s="2">
        <v>24027</v>
      </c>
      <c r="C38" s="2">
        <v>24681440</v>
      </c>
      <c r="E38" s="3" t="s">
        <v>64</v>
      </c>
      <c r="F38" s="3">
        <v>2210751.5511713736</v>
      </c>
      <c r="G38" s="3">
        <v>627046.87341702543</v>
      </c>
      <c r="H38" s="3">
        <v>3.5256559675102395</v>
      </c>
      <c r="I38" s="3">
        <v>9.6878690430180435E-4</v>
      </c>
      <c r="J38" s="3">
        <v>948571.65935405414</v>
      </c>
      <c r="K38" s="3">
        <v>3472931.4429886928</v>
      </c>
    </row>
    <row r="39" spans="1:11" ht="18" thickBot="1" x14ac:dyDescent="0.45">
      <c r="A39" s="1" t="s">
        <v>37</v>
      </c>
      <c r="B39" s="2">
        <v>21345</v>
      </c>
      <c r="C39" s="2">
        <v>25268379</v>
      </c>
      <c r="E39" s="4" t="s">
        <v>51</v>
      </c>
      <c r="F39" s="4">
        <v>1036.6892004815313</v>
      </c>
      <c r="G39" s="4">
        <v>40.372134006523815</v>
      </c>
      <c r="H39" s="4">
        <v>25.678335465596408</v>
      </c>
      <c r="I39" s="13">
        <v>6.485707372535506E-29</v>
      </c>
      <c r="J39" s="4">
        <v>955.42430962081403</v>
      </c>
      <c r="K39" s="4">
        <v>1117.9540913422486</v>
      </c>
    </row>
    <row r="40" spans="1:11" x14ac:dyDescent="0.4">
      <c r="A40" s="1" t="s">
        <v>38</v>
      </c>
      <c r="B40" s="2">
        <v>19122</v>
      </c>
      <c r="C40" s="2">
        <v>25822149</v>
      </c>
      <c r="E40" s="14" t="s">
        <v>80</v>
      </c>
    </row>
    <row r="41" spans="1:11" x14ac:dyDescent="0.4">
      <c r="A41" s="1" t="s">
        <v>39</v>
      </c>
      <c r="B41" s="2">
        <v>23118</v>
      </c>
      <c r="C41" s="2">
        <v>26402364</v>
      </c>
    </row>
    <row r="42" spans="1:11" x14ac:dyDescent="0.4">
      <c r="A42" s="1" t="s">
        <v>40</v>
      </c>
      <c r="B42" s="2">
        <v>25256</v>
      </c>
      <c r="C42" s="2">
        <v>27251153</v>
      </c>
    </row>
    <row r="43" spans="1:11" x14ac:dyDescent="0.4">
      <c r="A43" s="1" t="s">
        <v>41</v>
      </c>
      <c r="B43" s="2">
        <v>25724</v>
      </c>
      <c r="C43" s="2">
        <v>28263317</v>
      </c>
      <c r="E43" t="s">
        <v>75</v>
      </c>
    </row>
    <row r="44" spans="1:11" ht="18" thickBot="1" x14ac:dyDescent="0.45">
      <c r="A44" s="1" t="s">
        <v>42</v>
      </c>
      <c r="B44" s="2">
        <v>27351</v>
      </c>
      <c r="C44" s="2">
        <v>28848040</v>
      </c>
    </row>
    <row r="45" spans="1:11" x14ac:dyDescent="0.4">
      <c r="A45" s="1" t="s">
        <v>43</v>
      </c>
      <c r="B45" s="2">
        <v>29384</v>
      </c>
      <c r="C45" s="2">
        <v>29544245</v>
      </c>
      <c r="E45" s="5" t="s">
        <v>59</v>
      </c>
      <c r="F45" s="5" t="s">
        <v>76</v>
      </c>
      <c r="G45" s="5" t="s">
        <v>62</v>
      </c>
    </row>
    <row r="46" spans="1:11" x14ac:dyDescent="0.4">
      <c r="A46" s="1" t="s">
        <v>44</v>
      </c>
      <c r="B46" s="2">
        <v>28814</v>
      </c>
      <c r="C46" s="2">
        <v>30293621</v>
      </c>
      <c r="E46" s="3">
        <v>1</v>
      </c>
      <c r="F46" s="3">
        <v>2513464.7977119805</v>
      </c>
      <c r="G46" s="3">
        <v>-1994757.7977119805</v>
      </c>
    </row>
    <row r="47" spans="1:11" x14ac:dyDescent="0.4">
      <c r="A47" s="1" t="s">
        <v>45</v>
      </c>
      <c r="B47" s="2">
        <v>29394</v>
      </c>
      <c r="C47" s="2">
        <v>31190359</v>
      </c>
      <c r="E47" s="3">
        <v>2</v>
      </c>
      <c r="F47" s="3">
        <v>2547675.5413278714</v>
      </c>
      <c r="G47" s="3">
        <v>-1942196.5413278714</v>
      </c>
    </row>
    <row r="48" spans="1:11" x14ac:dyDescent="0.4">
      <c r="A48" s="1" t="s">
        <v>46</v>
      </c>
      <c r="B48" s="2">
        <v>31734</v>
      </c>
      <c r="C48" s="2">
        <v>31665393</v>
      </c>
      <c r="E48" s="3">
        <v>3</v>
      </c>
      <c r="F48" s="3">
        <v>2632684.0557673569</v>
      </c>
      <c r="G48" s="3">
        <v>-1946409.0557673569</v>
      </c>
    </row>
    <row r="49" spans="1:7" x14ac:dyDescent="0.4">
      <c r="A49" s="1" t="s">
        <v>47</v>
      </c>
      <c r="B49" s="2">
        <v>33564</v>
      </c>
      <c r="C49" s="2">
        <v>32161081</v>
      </c>
      <c r="E49" s="3">
        <v>4</v>
      </c>
      <c r="F49" s="3">
        <v>2796480.949443439</v>
      </c>
      <c r="G49" s="3">
        <v>-2085227.949443439</v>
      </c>
    </row>
    <row r="50" spans="1:7" x14ac:dyDescent="0.4">
      <c r="E50" s="3">
        <v>5</v>
      </c>
      <c r="F50" s="3">
        <v>2846242.0310665523</v>
      </c>
      <c r="G50" s="3">
        <v>-2109405.0310665523</v>
      </c>
    </row>
    <row r="51" spans="1:7" x14ac:dyDescent="0.4">
      <c r="E51" s="3">
        <v>6</v>
      </c>
      <c r="F51" s="3">
        <v>3071203.5875710445</v>
      </c>
      <c r="G51" s="3">
        <v>-2273736.5875710445</v>
      </c>
    </row>
    <row r="52" spans="1:7" x14ac:dyDescent="0.4">
      <c r="E52" s="3">
        <v>7</v>
      </c>
      <c r="F52" s="3">
        <v>3302385.279278426</v>
      </c>
      <c r="G52" s="3">
        <v>-2426456.279278426</v>
      </c>
    </row>
    <row r="53" spans="1:7" x14ac:dyDescent="0.4">
      <c r="E53" s="3">
        <v>8</v>
      </c>
      <c r="F53" s="3">
        <v>3728464.5406763353</v>
      </c>
      <c r="G53" s="3">
        <v>-2584171.5406763353</v>
      </c>
    </row>
    <row r="54" spans="1:7" x14ac:dyDescent="0.4">
      <c r="E54" s="3">
        <v>9</v>
      </c>
      <c r="F54" s="3">
        <v>3993856.9759996077</v>
      </c>
      <c r="G54" s="3">
        <v>-2484398.9759996077</v>
      </c>
    </row>
    <row r="55" spans="1:7" x14ac:dyDescent="0.4">
      <c r="E55" s="3">
        <v>10</v>
      </c>
      <c r="F55" s="3">
        <v>3972086.5027894955</v>
      </c>
      <c r="G55" s="3">
        <v>-2111432.5027894955</v>
      </c>
    </row>
    <row r="56" spans="1:7" x14ac:dyDescent="0.4">
      <c r="E56" s="3">
        <v>11</v>
      </c>
      <c r="F56" s="3">
        <v>4135883.3964655772</v>
      </c>
      <c r="G56" s="3">
        <v>-1933124.3964655772</v>
      </c>
    </row>
    <row r="57" spans="1:7" x14ac:dyDescent="0.4">
      <c r="E57" s="3">
        <v>12</v>
      </c>
      <c r="F57" s="3">
        <v>4256139.3437214345</v>
      </c>
      <c r="G57" s="3">
        <v>-1674829.3437214345</v>
      </c>
    </row>
    <row r="58" spans="1:7" x14ac:dyDescent="0.4">
      <c r="E58" s="3">
        <v>13</v>
      </c>
      <c r="F58" s="3">
        <v>4465550.5622187043</v>
      </c>
      <c r="G58" s="3">
        <v>-1476149.5622187043</v>
      </c>
    </row>
    <row r="59" spans="1:7" x14ac:dyDescent="0.4">
      <c r="E59" s="3">
        <v>14</v>
      </c>
      <c r="F59" s="3">
        <v>4677035.1591169368</v>
      </c>
      <c r="G59" s="3">
        <v>-1189897.1591169368</v>
      </c>
    </row>
    <row r="60" spans="1:7" x14ac:dyDescent="0.4">
      <c r="E60" s="3">
        <v>15</v>
      </c>
      <c r="F60" s="3">
        <v>4726796.2407400496</v>
      </c>
      <c r="G60" s="3">
        <v>-638275.24074004963</v>
      </c>
    </row>
    <row r="61" spans="1:7" x14ac:dyDescent="0.4">
      <c r="E61" s="3">
        <v>16</v>
      </c>
      <c r="F61" s="3">
        <v>5086527.393307142</v>
      </c>
      <c r="G61" s="3">
        <v>-434660.39330714196</v>
      </c>
    </row>
    <row r="62" spans="1:7" x14ac:dyDescent="0.4">
      <c r="E62" s="3">
        <v>17</v>
      </c>
      <c r="F62" s="3">
        <v>5851604.0232625119</v>
      </c>
      <c r="G62" s="3">
        <v>-582110.02326251194</v>
      </c>
    </row>
    <row r="63" spans="1:7" x14ac:dyDescent="0.4">
      <c r="E63" s="3">
        <v>18</v>
      </c>
      <c r="F63" s="3">
        <v>7101851.1990432385</v>
      </c>
      <c r="G63" s="3">
        <v>-910030.19904323854</v>
      </c>
    </row>
    <row r="64" spans="1:7" x14ac:dyDescent="0.4">
      <c r="E64" s="3">
        <v>19</v>
      </c>
      <c r="F64" s="3">
        <v>8224585.6031647371</v>
      </c>
      <c r="G64" s="3">
        <v>-1034118.6031647371</v>
      </c>
    </row>
    <row r="65" spans="5:7" x14ac:dyDescent="0.4">
      <c r="E65" s="3">
        <v>20</v>
      </c>
      <c r="F65" s="3">
        <v>9054973.6527504437</v>
      </c>
      <c r="G65" s="3">
        <v>-511070.65275044367</v>
      </c>
    </row>
    <row r="66" spans="5:7" x14ac:dyDescent="0.4">
      <c r="E66" s="3">
        <v>21</v>
      </c>
      <c r="F66" s="3">
        <v>10117580.083244013</v>
      </c>
      <c r="G66" s="3">
        <v>-273224.08324401267</v>
      </c>
    </row>
    <row r="67" spans="5:7" x14ac:dyDescent="0.4">
      <c r="E67" s="3">
        <v>22</v>
      </c>
      <c r="F67" s="3">
        <v>10622447.723878518</v>
      </c>
      <c r="G67" s="3">
        <v>990852.27612148225</v>
      </c>
    </row>
    <row r="68" spans="5:7" x14ac:dyDescent="0.4">
      <c r="E68" s="3">
        <v>23</v>
      </c>
      <c r="F68" s="3">
        <v>11408258.137843519</v>
      </c>
      <c r="G68" s="3">
        <v>1893351.8621564806</v>
      </c>
    </row>
    <row r="69" spans="5:7" x14ac:dyDescent="0.4">
      <c r="E69" s="3">
        <v>24</v>
      </c>
      <c r="F69" s="3">
        <v>12947741.600558594</v>
      </c>
      <c r="G69" s="3">
        <v>1942020.3994414061</v>
      </c>
    </row>
    <row r="70" spans="5:7" x14ac:dyDescent="0.4">
      <c r="E70" s="3">
        <v>25</v>
      </c>
      <c r="F70" s="3">
        <v>15192173.71960111</v>
      </c>
      <c r="G70" s="3">
        <v>1211585.2803988904</v>
      </c>
    </row>
    <row r="71" spans="5:7" x14ac:dyDescent="0.4">
      <c r="E71" s="3">
        <v>26</v>
      </c>
      <c r="F71" s="3">
        <v>16051589.066800298</v>
      </c>
      <c r="G71" s="3">
        <v>1669243.9331997018</v>
      </c>
    </row>
    <row r="72" spans="5:7" x14ac:dyDescent="0.4">
      <c r="E72" s="3">
        <v>27</v>
      </c>
      <c r="F72" s="3">
        <v>14997276.14991058</v>
      </c>
      <c r="G72" s="3">
        <v>3534895.8500894196</v>
      </c>
    </row>
    <row r="73" spans="5:7" x14ac:dyDescent="0.4">
      <c r="E73" s="3">
        <v>28</v>
      </c>
      <c r="F73" s="3">
        <v>10701236.103115115</v>
      </c>
      <c r="G73" s="3">
        <v>8847765.8968848847</v>
      </c>
    </row>
    <row r="74" spans="5:7" x14ac:dyDescent="0.4">
      <c r="E74" s="3">
        <v>29</v>
      </c>
      <c r="F74" s="3">
        <v>13146785.927051047</v>
      </c>
      <c r="G74" s="3">
        <v>4272092.0729489531</v>
      </c>
    </row>
    <row r="75" spans="5:7" x14ac:dyDescent="0.4">
      <c r="E75" s="3">
        <v>30</v>
      </c>
      <c r="F75" s="3">
        <v>14836589.323835943</v>
      </c>
      <c r="G75" s="3">
        <v>3860756.6761640571</v>
      </c>
    </row>
    <row r="76" spans="5:7" x14ac:dyDescent="0.4">
      <c r="E76" s="3">
        <v>31</v>
      </c>
      <c r="F76" s="3">
        <v>14116090.329501279</v>
      </c>
      <c r="G76" s="3">
        <v>5768246.6704987213</v>
      </c>
    </row>
    <row r="77" spans="5:7" x14ac:dyDescent="0.4">
      <c r="E77" s="3">
        <v>32</v>
      </c>
      <c r="F77" s="3">
        <v>15806930.415486656</v>
      </c>
      <c r="G77" s="3">
        <v>5416079.5845133439</v>
      </c>
    </row>
    <row r="78" spans="5:7" x14ac:dyDescent="0.4">
      <c r="E78" s="3">
        <v>33</v>
      </c>
      <c r="F78" s="3">
        <v>17365074.283810399</v>
      </c>
      <c r="G78" s="3">
        <v>4697382.7161896005</v>
      </c>
    </row>
    <row r="79" spans="5:7" x14ac:dyDescent="0.4">
      <c r="E79" s="3">
        <v>34</v>
      </c>
      <c r="F79" s="3">
        <v>19292279.507505566</v>
      </c>
      <c r="G79" s="3">
        <v>3442773.4924944341</v>
      </c>
    </row>
    <row r="80" spans="5:7" x14ac:dyDescent="0.4">
      <c r="E80" s="3">
        <v>35</v>
      </c>
      <c r="F80" s="3">
        <v>22179458.930846632</v>
      </c>
      <c r="G80" s="3">
        <v>1318198.0691533685</v>
      </c>
    </row>
    <row r="81" spans="5:7" x14ac:dyDescent="0.4">
      <c r="E81" s="3">
        <v>36</v>
      </c>
      <c r="F81" s="3">
        <v>24669586.390403267</v>
      </c>
      <c r="G81" s="3">
        <v>-581357.390403267</v>
      </c>
    </row>
    <row r="82" spans="5:7" x14ac:dyDescent="0.4">
      <c r="E82" s="3">
        <v>37</v>
      </c>
      <c r="F82" s="3">
        <v>27119282.971141126</v>
      </c>
      <c r="G82" s="3">
        <v>-2437842.971141126</v>
      </c>
    </row>
    <row r="83" spans="5:7" x14ac:dyDescent="0.4">
      <c r="E83" s="3">
        <v>38</v>
      </c>
      <c r="F83" s="3">
        <v>24338882.535449661</v>
      </c>
      <c r="G83" s="3">
        <v>929496.46455033869</v>
      </c>
    </row>
    <row r="84" spans="5:7" x14ac:dyDescent="0.4">
      <c r="E84" s="3">
        <v>39</v>
      </c>
      <c r="F84" s="3">
        <v>22034322.442779217</v>
      </c>
      <c r="G84" s="3">
        <v>3787826.5572207831</v>
      </c>
    </row>
    <row r="85" spans="5:7" x14ac:dyDescent="0.4">
      <c r="E85" s="3">
        <v>40</v>
      </c>
      <c r="F85" s="3">
        <v>26176932.487903416</v>
      </c>
      <c r="G85" s="3">
        <v>225431.51209658384</v>
      </c>
    </row>
    <row r="86" spans="5:7" x14ac:dyDescent="0.4">
      <c r="E86" s="3">
        <v>41</v>
      </c>
      <c r="F86" s="3">
        <v>28393373.998532929</v>
      </c>
      <c r="G86" s="3">
        <v>-1142220.9985329285</v>
      </c>
    </row>
    <row r="87" spans="5:7" x14ac:dyDescent="0.4">
      <c r="E87" s="3">
        <v>42</v>
      </c>
      <c r="F87" s="3">
        <v>28878544.544358283</v>
      </c>
      <c r="G87" s="3">
        <v>-615227.54435828328</v>
      </c>
    </row>
    <row r="88" spans="5:7" x14ac:dyDescent="0.4">
      <c r="E88" s="3">
        <v>43</v>
      </c>
      <c r="F88" s="3">
        <v>30565237.873541735</v>
      </c>
      <c r="G88" s="3">
        <v>-1717197.8735417351</v>
      </c>
    </row>
    <row r="89" spans="5:7" x14ac:dyDescent="0.4">
      <c r="E89" s="3">
        <v>44</v>
      </c>
      <c r="F89" s="3">
        <v>32672827.018120691</v>
      </c>
      <c r="G89" s="3">
        <v>-3128582.0181206912</v>
      </c>
    </row>
    <row r="90" spans="5:7" x14ac:dyDescent="0.4">
      <c r="E90" s="3">
        <v>45</v>
      </c>
      <c r="F90" s="3">
        <v>32081914.173846219</v>
      </c>
      <c r="G90" s="3">
        <v>-1788293.1738462187</v>
      </c>
    </row>
    <row r="91" spans="5:7" x14ac:dyDescent="0.4">
      <c r="E91" s="3">
        <v>46</v>
      </c>
      <c r="F91" s="3">
        <v>32683193.910125505</v>
      </c>
      <c r="G91" s="3">
        <v>-1492834.9101255052</v>
      </c>
    </row>
    <row r="92" spans="5:7" x14ac:dyDescent="0.4">
      <c r="E92" s="3">
        <v>47</v>
      </c>
      <c r="F92" s="3">
        <v>35109046.63925229</v>
      </c>
      <c r="G92" s="3">
        <v>-3443653.6392522901</v>
      </c>
    </row>
    <row r="93" spans="5:7" ht="18" thickBot="1" x14ac:dyDescent="0.45">
      <c r="E93" s="4">
        <v>48</v>
      </c>
      <c r="F93" s="4">
        <v>37006187.876133487</v>
      </c>
      <c r="G93" s="4">
        <v>-4845106.8761334866</v>
      </c>
    </row>
    <row r="94" spans="5:7" x14ac:dyDescent="0.4">
      <c r="G94" s="15">
        <f>SUM(G46:G93)</f>
        <v>2.9802322387695313E-8</v>
      </c>
    </row>
    <row r="96" spans="5:7" x14ac:dyDescent="0.4">
      <c r="E96" t="s">
        <v>81</v>
      </c>
    </row>
    <row r="97" spans="5:5" x14ac:dyDescent="0.4">
      <c r="E97" t="s">
        <v>82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9"/>
  <sheetViews>
    <sheetView tabSelected="1" workbookViewId="0">
      <selection activeCell="G7" sqref="G7"/>
    </sheetView>
  </sheetViews>
  <sheetFormatPr defaultRowHeight="17.399999999999999" x14ac:dyDescent="0.4"/>
  <cols>
    <col min="3" max="3" width="13.5" customWidth="1"/>
  </cols>
  <sheetData>
    <row r="1" spans="1:7" ht="18" thickBot="1" x14ac:dyDescent="0.45">
      <c r="A1" s="1" t="s">
        <v>48</v>
      </c>
      <c r="B1" s="1" t="s">
        <v>52</v>
      </c>
      <c r="C1" s="1" t="s">
        <v>50</v>
      </c>
      <c r="E1" t="s">
        <v>83</v>
      </c>
    </row>
    <row r="2" spans="1:7" x14ac:dyDescent="0.4">
      <c r="A2" s="1" t="s">
        <v>0</v>
      </c>
      <c r="B2" s="2">
        <v>292</v>
      </c>
      <c r="C2" s="2">
        <v>518707</v>
      </c>
      <c r="E2" s="5"/>
      <c r="F2" s="5" t="s">
        <v>51</v>
      </c>
      <c r="G2" s="5" t="s">
        <v>49</v>
      </c>
    </row>
    <row r="3" spans="1:7" x14ac:dyDescent="0.4">
      <c r="A3" s="1" t="s">
        <v>1</v>
      </c>
      <c r="B3" s="2">
        <v>325</v>
      </c>
      <c r="C3" s="2">
        <v>605479</v>
      </c>
      <c r="E3" s="3" t="s">
        <v>51</v>
      </c>
      <c r="F3" s="3">
        <v>1</v>
      </c>
      <c r="G3" s="3"/>
    </row>
    <row r="4" spans="1:7" ht="18" thickBot="1" x14ac:dyDescent="0.45">
      <c r="A4" s="1" t="s">
        <v>2</v>
      </c>
      <c r="B4" s="2">
        <v>407</v>
      </c>
      <c r="C4" s="2">
        <v>686275</v>
      </c>
      <c r="E4" s="4" t="s">
        <v>49</v>
      </c>
      <c r="F4" s="4">
        <v>0.96684364707888149</v>
      </c>
      <c r="G4" s="4">
        <v>1</v>
      </c>
    </row>
    <row r="5" spans="1:7" x14ac:dyDescent="0.4">
      <c r="A5" s="1" t="s">
        <v>3</v>
      </c>
      <c r="B5" s="2">
        <v>565</v>
      </c>
      <c r="C5" s="2">
        <v>711253</v>
      </c>
    </row>
    <row r="6" spans="1:7" x14ac:dyDescent="0.4">
      <c r="A6" s="1" t="s">
        <v>4</v>
      </c>
      <c r="B6" s="2">
        <v>613</v>
      </c>
      <c r="C6" s="2">
        <v>736837</v>
      </c>
    </row>
    <row r="7" spans="1:7" x14ac:dyDescent="0.4">
      <c r="A7" s="1" t="s">
        <v>5</v>
      </c>
      <c r="B7" s="2">
        <v>830</v>
      </c>
      <c r="C7" s="2">
        <v>797467</v>
      </c>
    </row>
    <row r="8" spans="1:7" x14ac:dyDescent="0.4">
      <c r="A8" s="1" t="s">
        <v>6</v>
      </c>
      <c r="B8" s="2">
        <v>1053</v>
      </c>
      <c r="C8" s="2">
        <v>875929</v>
      </c>
    </row>
    <row r="9" spans="1:7" x14ac:dyDescent="0.4">
      <c r="A9" s="1" t="s">
        <v>7</v>
      </c>
      <c r="B9" s="2">
        <v>1464</v>
      </c>
      <c r="C9" s="2">
        <v>1144293</v>
      </c>
    </row>
    <row r="10" spans="1:7" x14ac:dyDescent="0.4">
      <c r="A10" s="1" t="s">
        <v>8</v>
      </c>
      <c r="B10" s="2">
        <v>1720</v>
      </c>
      <c r="C10" s="2">
        <v>1509458</v>
      </c>
    </row>
    <row r="11" spans="1:7" x14ac:dyDescent="0.4">
      <c r="A11" s="1" t="s">
        <v>9</v>
      </c>
      <c r="B11" s="2">
        <v>1699</v>
      </c>
      <c r="C11" s="2">
        <v>1860654</v>
      </c>
    </row>
    <row r="12" spans="1:7" x14ac:dyDescent="0.4">
      <c r="A12" s="1" t="s">
        <v>10</v>
      </c>
      <c r="B12" s="2">
        <v>1857</v>
      </c>
      <c r="C12" s="2">
        <v>2202759</v>
      </c>
    </row>
    <row r="13" spans="1:7" x14ac:dyDescent="0.4">
      <c r="A13" s="1" t="s">
        <v>11</v>
      </c>
      <c r="B13" s="2">
        <v>1973</v>
      </c>
      <c r="C13" s="2">
        <v>2581310</v>
      </c>
    </row>
    <row r="14" spans="1:7" x14ac:dyDescent="0.4">
      <c r="A14" s="1" t="s">
        <v>12</v>
      </c>
      <c r="B14" s="2">
        <v>2175</v>
      </c>
      <c r="C14" s="2">
        <v>2989401</v>
      </c>
    </row>
    <row r="15" spans="1:7" x14ac:dyDescent="0.4">
      <c r="A15" s="1" t="s">
        <v>13</v>
      </c>
      <c r="B15" s="2">
        <v>2379</v>
      </c>
      <c r="C15" s="2">
        <v>3487138</v>
      </c>
    </row>
    <row r="16" spans="1:7" x14ac:dyDescent="0.4">
      <c r="A16" s="1" t="s">
        <v>14</v>
      </c>
      <c r="B16" s="2">
        <v>2427</v>
      </c>
      <c r="C16" s="2">
        <v>4088521</v>
      </c>
    </row>
    <row r="17" spans="1:3" x14ac:dyDescent="0.4">
      <c r="A17" s="1" t="s">
        <v>15</v>
      </c>
      <c r="B17" s="2">
        <v>2774</v>
      </c>
      <c r="C17" s="2">
        <v>4651867</v>
      </c>
    </row>
    <row r="18" spans="1:3" x14ac:dyDescent="0.4">
      <c r="A18" s="1" t="s">
        <v>16</v>
      </c>
      <c r="B18" s="2">
        <v>3512</v>
      </c>
      <c r="C18" s="2">
        <v>5269494</v>
      </c>
    </row>
    <row r="19" spans="1:3" x14ac:dyDescent="0.4">
      <c r="A19" s="1" t="s">
        <v>17</v>
      </c>
      <c r="B19" s="2">
        <v>4718</v>
      </c>
      <c r="C19" s="2">
        <v>6191821</v>
      </c>
    </row>
    <row r="20" spans="1:3" x14ac:dyDescent="0.4">
      <c r="A20" s="1" t="s">
        <v>18</v>
      </c>
      <c r="B20" s="2">
        <v>5801</v>
      </c>
      <c r="C20" s="2">
        <v>7190467</v>
      </c>
    </row>
    <row r="21" spans="1:3" x14ac:dyDescent="0.4">
      <c r="A21" s="1" t="s">
        <v>19</v>
      </c>
      <c r="B21" s="2">
        <v>6602</v>
      </c>
      <c r="C21" s="2">
        <v>8543903</v>
      </c>
    </row>
    <row r="22" spans="1:3" x14ac:dyDescent="0.4">
      <c r="A22" s="1" t="s">
        <v>20</v>
      </c>
      <c r="B22" s="2">
        <v>7627</v>
      </c>
      <c r="C22" s="2">
        <v>9844356</v>
      </c>
    </row>
    <row r="23" spans="1:3" x14ac:dyDescent="0.4">
      <c r="A23" s="1" t="s">
        <v>21</v>
      </c>
      <c r="B23" s="2">
        <v>8114</v>
      </c>
      <c r="C23" s="2">
        <v>11613300</v>
      </c>
    </row>
    <row r="24" spans="1:3" x14ac:dyDescent="0.4">
      <c r="A24" s="1" t="s">
        <v>22</v>
      </c>
      <c r="B24" s="2">
        <v>8872</v>
      </c>
      <c r="C24" s="2">
        <v>13301610</v>
      </c>
    </row>
    <row r="25" spans="1:3" x14ac:dyDescent="0.4">
      <c r="A25" s="1" t="s">
        <v>23</v>
      </c>
      <c r="B25" s="2">
        <v>10357</v>
      </c>
      <c r="C25" s="2">
        <v>14889762</v>
      </c>
    </row>
    <row r="26" spans="1:3" x14ac:dyDescent="0.4">
      <c r="A26" s="1" t="s">
        <v>24</v>
      </c>
      <c r="B26" s="2">
        <v>12522</v>
      </c>
      <c r="C26" s="2">
        <v>16403759</v>
      </c>
    </row>
    <row r="27" spans="1:3" x14ac:dyDescent="0.4">
      <c r="A27" s="1" t="s">
        <v>25</v>
      </c>
      <c r="B27" s="2">
        <v>13351</v>
      </c>
      <c r="C27" s="2">
        <v>17720833</v>
      </c>
    </row>
    <row r="28" spans="1:3" x14ac:dyDescent="0.4">
      <c r="A28" s="1" t="s">
        <v>26</v>
      </c>
      <c r="B28" s="2">
        <v>12334</v>
      </c>
      <c r="C28" s="2">
        <v>18532172</v>
      </c>
    </row>
    <row r="29" spans="1:3" x14ac:dyDescent="0.4">
      <c r="A29" s="1" t="s">
        <v>27</v>
      </c>
      <c r="B29" s="2">
        <v>8190</v>
      </c>
      <c r="C29" s="2">
        <v>19549002</v>
      </c>
    </row>
    <row r="30" spans="1:3" x14ac:dyDescent="0.4">
      <c r="A30" s="1" t="s">
        <v>28</v>
      </c>
      <c r="B30" s="2">
        <v>10549</v>
      </c>
      <c r="C30" s="2">
        <v>17418878</v>
      </c>
    </row>
    <row r="31" spans="1:3" x14ac:dyDescent="0.4">
      <c r="A31" s="1" t="s">
        <v>29</v>
      </c>
      <c r="B31" s="2">
        <v>12179</v>
      </c>
      <c r="C31" s="2">
        <v>18697346</v>
      </c>
    </row>
    <row r="32" spans="1:3" x14ac:dyDescent="0.4">
      <c r="A32" s="1" t="s">
        <v>30</v>
      </c>
      <c r="B32" s="2">
        <v>11484</v>
      </c>
      <c r="C32" s="2">
        <v>19884337</v>
      </c>
    </row>
    <row r="33" spans="1:3" x14ac:dyDescent="0.4">
      <c r="A33" s="1" t="s">
        <v>31</v>
      </c>
      <c r="B33" s="2">
        <v>13115</v>
      </c>
      <c r="C33" s="2">
        <v>21223010</v>
      </c>
    </row>
    <row r="34" spans="1:3" x14ac:dyDescent="0.4">
      <c r="A34" s="1" t="s">
        <v>32</v>
      </c>
      <c r="B34" s="2">
        <v>14618</v>
      </c>
      <c r="C34" s="2">
        <v>22062457</v>
      </c>
    </row>
    <row r="35" spans="1:3" x14ac:dyDescent="0.4">
      <c r="A35" s="1" t="s">
        <v>33</v>
      </c>
      <c r="B35" s="2">
        <v>16477</v>
      </c>
      <c r="C35" s="2">
        <v>22735053</v>
      </c>
    </row>
    <row r="36" spans="1:3" x14ac:dyDescent="0.4">
      <c r="A36" s="1" t="s">
        <v>34</v>
      </c>
      <c r="B36" s="2">
        <v>19262</v>
      </c>
      <c r="C36" s="2">
        <v>23497657</v>
      </c>
    </row>
    <row r="37" spans="1:3" x14ac:dyDescent="0.4">
      <c r="A37" s="1" t="s">
        <v>35</v>
      </c>
      <c r="B37" s="2">
        <v>21664</v>
      </c>
      <c r="C37" s="2">
        <v>24088229</v>
      </c>
    </row>
    <row r="38" spans="1:3" x14ac:dyDescent="0.4">
      <c r="A38" s="1" t="s">
        <v>36</v>
      </c>
      <c r="B38" s="2">
        <v>24027</v>
      </c>
      <c r="C38" s="2">
        <v>24681440</v>
      </c>
    </row>
    <row r="39" spans="1:3" x14ac:dyDescent="0.4">
      <c r="A39" s="1" t="s">
        <v>37</v>
      </c>
      <c r="B39" s="2">
        <v>21345</v>
      </c>
      <c r="C39" s="2">
        <v>25268379</v>
      </c>
    </row>
    <row r="40" spans="1:3" x14ac:dyDescent="0.4">
      <c r="A40" s="1" t="s">
        <v>38</v>
      </c>
      <c r="B40" s="2">
        <v>19122</v>
      </c>
      <c r="C40" s="2">
        <v>25822149</v>
      </c>
    </row>
    <row r="41" spans="1:3" x14ac:dyDescent="0.4">
      <c r="A41" s="1" t="s">
        <v>39</v>
      </c>
      <c r="B41" s="2">
        <v>23118</v>
      </c>
      <c r="C41" s="2">
        <v>26402364</v>
      </c>
    </row>
    <row r="42" spans="1:3" x14ac:dyDescent="0.4">
      <c r="A42" s="1" t="s">
        <v>40</v>
      </c>
      <c r="B42" s="2">
        <v>25256</v>
      </c>
      <c r="C42" s="2">
        <v>27251153</v>
      </c>
    </row>
    <row r="43" spans="1:3" x14ac:dyDescent="0.4">
      <c r="A43" s="1" t="s">
        <v>41</v>
      </c>
      <c r="B43" s="2">
        <v>25724</v>
      </c>
      <c r="C43" s="2">
        <v>28263317</v>
      </c>
    </row>
    <row r="44" spans="1:3" x14ac:dyDescent="0.4">
      <c r="A44" s="1" t="s">
        <v>42</v>
      </c>
      <c r="B44" s="2">
        <v>27351</v>
      </c>
      <c r="C44" s="2">
        <v>28848040</v>
      </c>
    </row>
    <row r="45" spans="1:3" x14ac:dyDescent="0.4">
      <c r="A45" s="1" t="s">
        <v>43</v>
      </c>
      <c r="B45" s="2">
        <v>29384</v>
      </c>
      <c r="C45" s="2">
        <v>29544245</v>
      </c>
    </row>
    <row r="46" spans="1:3" x14ac:dyDescent="0.4">
      <c r="A46" s="1" t="s">
        <v>44</v>
      </c>
      <c r="B46" s="2">
        <v>28814</v>
      </c>
      <c r="C46" s="2">
        <v>30293621</v>
      </c>
    </row>
    <row r="47" spans="1:3" x14ac:dyDescent="0.4">
      <c r="A47" s="1" t="s">
        <v>45</v>
      </c>
      <c r="B47" s="2">
        <v>29394</v>
      </c>
      <c r="C47" s="2">
        <v>31190359</v>
      </c>
    </row>
    <row r="48" spans="1:3" x14ac:dyDescent="0.4">
      <c r="A48" s="1" t="s">
        <v>46</v>
      </c>
      <c r="B48" s="2">
        <v>31734</v>
      </c>
      <c r="C48" s="2">
        <v>31665393</v>
      </c>
    </row>
    <row r="49" spans="1:3" x14ac:dyDescent="0.4">
      <c r="A49" s="1" t="s">
        <v>47</v>
      </c>
      <c r="B49" s="2">
        <v>33564</v>
      </c>
      <c r="C49" s="2">
        <v>32161081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or_2016">
                <anchor moveWithCells="1" sizeWithCells="1">
                  <from>
                    <xdr:col>7</xdr:col>
                    <xdr:colOff>662940</xdr:colOff>
                    <xdr:row>0</xdr:row>
                    <xdr:rowOff>7620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or_365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Design</dc:creator>
  <cp:lastModifiedBy>user</cp:lastModifiedBy>
  <dcterms:created xsi:type="dcterms:W3CDTF">2021-05-05T12:26:57Z</dcterms:created>
  <dcterms:modified xsi:type="dcterms:W3CDTF">2022-11-21T04:50:27Z</dcterms:modified>
</cp:coreProperties>
</file>